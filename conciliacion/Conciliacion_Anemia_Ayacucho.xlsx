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CONCILIACIÓN" sheetId="2" state="visible" r:id="rId4"/>
    <sheet name="DATOS FUENTE" sheetId="3" state="visible" r:id="rId5"/>
    <sheet name="RANKING DISTRI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<sst xmlns="http://schemas.openxmlformats.org/spreadsheetml/2006/main" count="85" uniqueCount="72">
  <si>
    <t xml:space="preserve">CONCILIACIÓN DE INDICADORES</t>
  </si>
  <si>
    <t xml:space="preserve">Lakehouse Analítico para el Monitoreo de Anemia Infantil — Ayacucho 2023–2025</t>
  </si>
  <si>
    <t xml:space="preserve">Sistemas de Gestión de Datos · Proyecto Final</t>
  </si>
  <si>
    <t xml:space="preserve">Integrantes:</t>
  </si>
  <si>
    <t xml:space="preserve">Chavez Calderon Evelyn  |  Coronado Saavedra Noria  |  Robles Lázaro Jesus  |  Rodriguez Mancisidor Mauricio</t>
  </si>
  <si>
    <t xml:space="preserve">Fuente Databricks:</t>
  </si>
  <si>
    <t xml:space="preserve">Vista vw_kpi_general — capa Gold del modelo estrella</t>
  </si>
  <si>
    <t xml:space="preserve">Fuente Excel:</t>
  </si>
  <si>
    <t xml:space="preserve">Recálculo manual sobre los mismos datos exportados</t>
  </si>
  <si>
    <t xml:space="preserve">Criterio de conformidad:</t>
  </si>
  <si>
    <t xml:space="preserve">Diferencia = 0  →  Estado: ✓ Conforme</t>
  </si>
  <si>
    <t xml:space="preserve">Resultado global:</t>
  </si>
  <si>
    <t xml:space="preserve">7 / 7 indicadores conformes — Sin diferencias detectadas</t>
  </si>
  <si>
    <t xml:space="preserve">CONCILIACIÓN: DATABRICKS vs. EXCEL</t>
  </si>
  <si>
    <t xml:space="preserve">Vista: vw_kpi_general  ·  Capa Gold  ·  Ayacucho 2023–2025</t>
  </si>
  <si>
    <t xml:space="preserve">Indicador</t>
  </si>
  <si>
    <t xml:space="preserve">Valor Databricks</t>
  </si>
  <si>
    <t xml:space="preserve">Valor Excel</t>
  </si>
  <si>
    <t xml:space="preserve">Diferencia</t>
  </si>
  <si>
    <t xml:space="preserve">Estado</t>
  </si>
  <si>
    <t xml:space="preserve">Total niños evaluados</t>
  </si>
  <si>
    <t xml:space="preserve">Total niños con anemia</t>
  </si>
  <si>
    <t xml:space="preserve">Tasa general de anemia (%)</t>
  </si>
  <si>
    <t xml:space="preserve">Cantidad de registros (fact)</t>
  </si>
  <si>
    <t xml:space="preserve">Cantidad de provincias</t>
  </si>
  <si>
    <t xml:space="preserve">Cantidad de distritos</t>
  </si>
  <si>
    <t xml:space="preserve">Cantidad de zonas geográficas</t>
  </si>
  <si>
    <t xml:space="preserve">RESULTADO GLOBAL</t>
  </si>
  <si>
    <t xml:space="preserve">Criterio: Si la diferencia entre Databricks y Excel es 0, el estado es ✓ Conforme. Datos fuente: vw_kpi_general (Gold Layer).</t>
  </si>
  <si>
    <t xml:space="preserve">DATOS FUENTE — Detalle por Año</t>
  </si>
  <si>
    <t xml:space="preserve">Evolución anual de la anemia infantil en Ayacucho · Fuente: vw_evolucion_anual (Gold Layer)</t>
  </si>
  <si>
    <t xml:space="preserve">Año</t>
  </si>
  <si>
    <t xml:space="preserve">Niños Evaluados</t>
  </si>
  <si>
    <t xml:space="preserve">Niños con Anemia</t>
  </si>
  <si>
    <t xml:space="preserve">Tasa Anemia (%)</t>
  </si>
  <si>
    <t xml:space="preserve">Variación Tasa</t>
  </si>
  <si>
    <t xml:space="preserve">Registros</t>
  </si>
  <si>
    <t xml:space="preserve">Fuente</t>
  </si>
  <si>
    <t xml:space="preserve">data_2023.csv</t>
  </si>
  <si>
    <t xml:space="preserve">data_2024.csv</t>
  </si>
  <si>
    <t xml:space="preserve">data_2025.csv</t>
  </si>
  <si>
    <t xml:space="preserve">TOTAL / PROMEDIO</t>
  </si>
  <si>
    <t xml:space="preserve">3 archivos CSV</t>
  </si>
  <si>
    <t xml:space="preserve">Total evaluados (check):</t>
  </si>
  <si>
    <t xml:space="preserve">TOP 15 DISTRITOS CON MAYOR TASA DE ANEMIA</t>
  </si>
  <si>
    <t xml:space="preserve">Fuente: vw_ranking_distritos_criticos (Gold Layer) — Acumulado 2023–2025</t>
  </si>
  <si>
    <t xml:space="preserve">#</t>
  </si>
  <si>
    <t xml:space="preserve">Provincia</t>
  </si>
  <si>
    <t xml:space="preserve">Distrito</t>
  </si>
  <si>
    <t xml:space="preserve">Total Evaluados</t>
  </si>
  <si>
    <t xml:space="preserve">Huanta</t>
  </si>
  <si>
    <t xml:space="preserve">Santillana</t>
  </si>
  <si>
    <t xml:space="preserve">Huamanga</t>
  </si>
  <si>
    <t xml:space="preserve">Socos</t>
  </si>
  <si>
    <t xml:space="preserve">Lucanas</t>
  </si>
  <si>
    <t xml:space="preserve">Chipao</t>
  </si>
  <si>
    <t xml:space="preserve">Acocro</t>
  </si>
  <si>
    <t xml:space="preserve">Carmen Salcedo</t>
  </si>
  <si>
    <t xml:space="preserve">Aucara</t>
  </si>
  <si>
    <t xml:space="preserve">Pucacolpa</t>
  </si>
  <si>
    <t xml:space="preserve">Jesus Nazareno</t>
  </si>
  <si>
    <t xml:space="preserve">Iguain</t>
  </si>
  <si>
    <t xml:space="preserve">Quinua</t>
  </si>
  <si>
    <t xml:space="preserve">Chaviña</t>
  </si>
  <si>
    <t xml:space="preserve">San Juan Bautista</t>
  </si>
  <si>
    <t xml:space="preserve">Chiara</t>
  </si>
  <si>
    <t xml:space="preserve">Vinchos</t>
  </si>
  <si>
    <t xml:space="preserve">La Mar</t>
  </si>
  <si>
    <t xml:space="preserve">Anco</t>
  </si>
  <si>
    <t xml:space="preserve">■ Riesgo Alto (≥ 50%)</t>
  </si>
  <si>
    <t xml:space="preserve">■ Riesgo Medio (40–49%)</t>
  </si>
  <si>
    <t xml:space="preserve">■ Riesgo Bajo (&lt; 40%)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</si>
</sst>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0.00\%"/>
    <numFmt numFmtId="168" formatCode="0.00;\(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sz val="14"/>
      <color rgb="FFFFFFFF"/>
      <name val="Arial"/>
      <family val="0"/>
      <charset val="1"/>
    </font>
    <font>
      <i val="true"/>
      <sz val="12"/>
      <color rgb="FFC9A84C"/>
      <name val="Arial"/>
      <family val="0"/>
      <charset val="1"/>
    </font>
    <font>
      <b val="true"/>
      <sz val="10"/>
      <color rgb="FF0D4F4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354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4F4F"/>
        <bgColor rgb="FF2C3E50"/>
      </patternFill>
    </fill>
    <fill>
      <patternFill patternType="solid">
        <fgColor rgb="FF1A7A6E"/>
        <bgColor rgb="FF1E8449"/>
      </patternFill>
    </fill>
    <fill>
      <patternFill patternType="solid">
        <fgColor rgb="FF2C3E50"/>
        <bgColor rgb="FF0D4F4F"/>
      </patternFill>
    </fill>
    <fill>
      <patternFill patternType="solid">
        <fgColor rgb="FFF0F6F6"/>
        <bgColor rgb="FFFFFFFF"/>
      </patternFill>
    </fill>
    <fill>
      <patternFill patternType="solid">
        <fgColor rgb="FFFFFFFF"/>
        <bgColor rgb="FFF0F6F6"/>
      </patternFill>
    </fill>
    <fill>
      <patternFill patternType="solid">
        <fgColor rgb="FF1E8449"/>
        <bgColor rgb="FF1A7A6E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0D4F4F"/>
      </left>
      <right style="medium">
        <color rgb="FF0D4F4F"/>
      </right>
      <top style="medium">
        <color rgb="FF0D4F4F"/>
      </top>
      <bottom style="medium">
        <color rgb="FF0D4F4F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0D4F4F"/>
      </left>
      <right/>
      <top style="medium">
        <color rgb="FF0D4F4F"/>
      </top>
      <bottom style="medium">
        <color rgb="FF0D4F4F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1" fillId="9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4" fillId="10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6E"/>
      <rgbColor rgb="FFC0C0C0"/>
      <rgbColor rgb="FF888888"/>
      <rgbColor rgb="FF9999FF"/>
      <rgbColor rgb="FF993366"/>
      <rgbColor rgb="FFFDEBD0"/>
      <rgbColor rgb="FFF0F6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C9A84C"/>
      <rgbColor rgb="FFD35400"/>
      <rgbColor rgb="FF666699"/>
      <rgbColor rgb="FFAAAAAA"/>
      <rgbColor rgb="FF0D4F4F"/>
      <rgbColor rgb="FF1E8449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9.75" hidden="false" customHeight="true" outlineLevel="0" collapsed="false"/>
    <row r="2" customFormat="false" ht="60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39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/>
    <row r="6" customFormat="false" ht="21.75" hidden="false" customHeight="true" outlineLevel="0" collapsed="false">
      <c r="A6" s="4" t="s">
        <v>3</v>
      </c>
      <c r="B6" s="4"/>
      <c r="C6" s="5" t="s">
        <v>4</v>
      </c>
      <c r="D6" s="5"/>
      <c r="E6" s="5"/>
      <c r="F6" s="5"/>
      <c r="G6" s="5"/>
      <c r="H6" s="5"/>
    </row>
    <row r="7" customFormat="false" ht="21.75" hidden="false" customHeight="true" outlineLevel="0" collapsed="false">
      <c r="A7" s="4" t="s">
        <v>5</v>
      </c>
      <c r="B7" s="4"/>
      <c r="C7" s="5" t="s">
        <v>6</v>
      </c>
      <c r="D7" s="5"/>
      <c r="E7" s="5"/>
      <c r="F7" s="5"/>
      <c r="G7" s="5"/>
      <c r="H7" s="5"/>
    </row>
    <row r="8" customFormat="false" ht="21.75" hidden="false" customHeight="true" outlineLevel="0" collapsed="false">
      <c r="A8" s="4" t="s">
        <v>7</v>
      </c>
      <c r="B8" s="4"/>
      <c r="C8" s="5" t="s">
        <v>8</v>
      </c>
      <c r="D8" s="5"/>
      <c r="E8" s="5"/>
      <c r="F8" s="5"/>
      <c r="G8" s="5"/>
      <c r="H8" s="5"/>
    </row>
    <row r="9" customFormat="false" ht="21.75" hidden="false" customHeight="true" outlineLevel="0" collapsed="false">
      <c r="A9" s="4" t="s">
        <v>9</v>
      </c>
      <c r="B9" s="4"/>
      <c r="C9" s="5" t="s">
        <v>10</v>
      </c>
      <c r="D9" s="5"/>
      <c r="E9" s="5"/>
      <c r="F9" s="5"/>
      <c r="G9" s="5"/>
      <c r="H9" s="5"/>
    </row>
    <row r="10" customFormat="false" ht="21.75" hidden="false" customHeight="true" outlineLevel="0" collapsed="false">
      <c r="A10" s="4" t="s">
        <v>11</v>
      </c>
      <c r="B10" s="4"/>
      <c r="C10" s="5" t="s">
        <v>12</v>
      </c>
      <c r="D10" s="5"/>
      <c r="E10" s="5"/>
      <c r="F10" s="5"/>
      <c r="G10" s="5"/>
      <c r="H10" s="5"/>
    </row>
  </sheetData>
  <mergeCells count="13">
    <mergeCell ref="A2:H2"/>
    <mergeCell ref="A3:H3"/>
    <mergeCell ref="A4:H4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5" min="4" style="0" width="18"/>
  </cols>
  <sheetData>
    <row r="1" customFormat="false" ht="36" hidden="false" customHeight="true" outlineLevel="0" collapsed="false">
      <c r="A1" s="6" t="s">
        <v>13</v>
      </c>
      <c r="B1" s="6"/>
      <c r="C1" s="6"/>
      <c r="D1" s="6"/>
      <c r="E1" s="6"/>
    </row>
    <row r="2" customFormat="false" ht="24" hidden="false" customHeight="true" outlineLevel="0" collapsed="false">
      <c r="A2" s="7" t="s">
        <v>14</v>
      </c>
      <c r="B2" s="7"/>
      <c r="C2" s="7"/>
      <c r="D2" s="7"/>
      <c r="E2" s="7"/>
    </row>
    <row r="3" customFormat="false" ht="7.5" hidden="false" customHeight="true" outlineLevel="0" collapsed="false"/>
    <row r="4" customFormat="false" ht="27.75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</row>
    <row r="5" customFormat="false" ht="24" hidden="false" customHeight="true" outlineLevel="0" collapsed="false">
      <c r="A5" s="9" t="s">
        <v>20</v>
      </c>
      <c r="B5" s="10" t="n">
        <v>60557</v>
      </c>
      <c r="C5" s="10" t="n">
        <v>60557</v>
      </c>
      <c r="D5" s="11" t="n">
        <f aca="false">C5-B5</f>
        <v>0</v>
      </c>
      <c r="E5" s="12" t="str">
        <f aca="false">IF(D5=0,"✓ Conforme","✗ Diferencia")</f>
        <v>✓ Conforme</v>
      </c>
    </row>
    <row r="6" customFormat="false" ht="24" hidden="false" customHeight="true" outlineLevel="0" collapsed="false">
      <c r="A6" s="13" t="s">
        <v>21</v>
      </c>
      <c r="B6" s="14" t="n">
        <v>17366</v>
      </c>
      <c r="C6" s="14" t="n">
        <v>17366</v>
      </c>
      <c r="D6" s="15" t="n">
        <f aca="false">C6-B6</f>
        <v>0</v>
      </c>
      <c r="E6" s="16" t="str">
        <f aca="false">IF(D6=0,"✓ Conforme","✗ Diferencia")</f>
        <v>✓ Conforme</v>
      </c>
    </row>
    <row r="7" customFormat="false" ht="24" hidden="false" customHeight="true" outlineLevel="0" collapsed="false">
      <c r="A7" s="9" t="s">
        <v>22</v>
      </c>
      <c r="B7" s="17" t="n">
        <v>28.68</v>
      </c>
      <c r="C7" s="17" t="n">
        <v>28.68</v>
      </c>
      <c r="D7" s="18" t="n">
        <f aca="false">C7-B7</f>
        <v>0</v>
      </c>
      <c r="E7" s="12" t="str">
        <f aca="false">IF(D7=0,"✓ Conforme","✗ Diferencia")</f>
        <v>✓ Conforme</v>
      </c>
    </row>
    <row r="8" customFormat="false" ht="24" hidden="false" customHeight="true" outlineLevel="0" collapsed="false">
      <c r="A8" s="13" t="s">
        <v>23</v>
      </c>
      <c r="B8" s="14" t="n">
        <v>1647</v>
      </c>
      <c r="C8" s="14" t="n">
        <v>1647</v>
      </c>
      <c r="D8" s="15" t="n">
        <f aca="false">C8-B8</f>
        <v>0</v>
      </c>
      <c r="E8" s="16" t="str">
        <f aca="false">IF(D8=0,"✓ Conforme","✗ Diferencia")</f>
        <v>✓ Conforme</v>
      </c>
    </row>
    <row r="9" customFormat="false" ht="24" hidden="false" customHeight="true" outlineLevel="0" collapsed="false">
      <c r="A9" s="9" t="s">
        <v>24</v>
      </c>
      <c r="B9" s="10" t="n">
        <v>6</v>
      </c>
      <c r="C9" s="10" t="n">
        <v>6</v>
      </c>
      <c r="D9" s="11" t="n">
        <f aca="false">C9-B9</f>
        <v>0</v>
      </c>
      <c r="E9" s="12" t="str">
        <f aca="false">IF(D9=0,"✓ Conforme","✗ Diferencia")</f>
        <v>✓ Conforme</v>
      </c>
    </row>
    <row r="10" customFormat="false" ht="24" hidden="false" customHeight="true" outlineLevel="0" collapsed="false">
      <c r="A10" s="13" t="s">
        <v>25</v>
      </c>
      <c r="B10" s="14" t="n">
        <v>62</v>
      </c>
      <c r="C10" s="14" t="n">
        <v>62</v>
      </c>
      <c r="D10" s="15" t="n">
        <f aca="false">C10-B10</f>
        <v>0</v>
      </c>
      <c r="E10" s="16" t="str">
        <f aca="false">IF(D10=0,"✓ Conforme","✗ Diferencia")</f>
        <v>✓ Conforme</v>
      </c>
    </row>
    <row r="11" customFormat="false" ht="24" hidden="false" customHeight="true" outlineLevel="0" collapsed="false">
      <c r="A11" s="9" t="s">
        <v>26</v>
      </c>
      <c r="B11" s="10" t="n">
        <v>9</v>
      </c>
      <c r="C11" s="10" t="n">
        <v>9</v>
      </c>
      <c r="D11" s="11" t="n">
        <f aca="false">C11-B11</f>
        <v>0</v>
      </c>
      <c r="E11" s="12" t="str">
        <f aca="false">IF(D11=0,"✓ Conforme","✗ Diferencia")</f>
        <v>✓ Conforme</v>
      </c>
    </row>
    <row r="12" customFormat="false" ht="7.5" hidden="false" customHeight="true" outlineLevel="0" collapsed="false"/>
    <row r="13" customFormat="false" ht="25.5" hidden="false" customHeight="true" outlineLevel="0" collapsed="false">
      <c r="A13" s="19" t="s">
        <v>27</v>
      </c>
      <c r="B13" s="19"/>
      <c r="C13" s="19"/>
      <c r="D13" s="20" t="str">
        <f aca="false">COUNTIF(E5:E11,"✓ Conforme")&amp;" / "&amp;COUNTA(E5:E11)&amp;" indicadores conformes"</f>
        <v>7 / 7 indicadores conformes</v>
      </c>
      <c r="E13" s="20"/>
    </row>
    <row r="15" customFormat="false" ht="18" hidden="false" customHeight="true" outlineLevel="0" collapsed="false">
      <c r="A15" s="21" t="s">
        <v>28</v>
      </c>
      <c r="B15" s="21"/>
      <c r="C15" s="21"/>
      <c r="D15" s="21"/>
      <c r="E15" s="21"/>
    </row>
  </sheetData>
  <mergeCells count="5">
    <mergeCell ref="A1:E1"/>
    <mergeCell ref="A2:E2"/>
    <mergeCell ref="A13:C13"/>
    <mergeCell ref="D13:E1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6" min="4" style="0" width="1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22" t="s">
        <v>29</v>
      </c>
      <c r="B1" s="22"/>
      <c r="C1" s="22"/>
      <c r="D1" s="22"/>
      <c r="E1" s="22"/>
      <c r="F1" s="22"/>
      <c r="G1" s="22"/>
    </row>
    <row r="2" customFormat="false" ht="19.5" hidden="false" customHeight="true" outlineLevel="0" collapsed="false">
      <c r="A2" s="23" t="s">
        <v>30</v>
      </c>
      <c r="B2" s="23"/>
      <c r="C2" s="23"/>
      <c r="D2" s="23"/>
      <c r="E2" s="23"/>
      <c r="F2" s="23"/>
      <c r="G2" s="23"/>
    </row>
    <row r="3" customFormat="false" ht="7.5" hidden="false" customHeight="true" outlineLevel="0" collapsed="false"/>
    <row r="4" customFormat="false" ht="25.5" hidden="false" customHeight="true" outlineLevel="0" collapsed="false">
      <c r="A4" s="24" t="s">
        <v>31</v>
      </c>
      <c r="B4" s="24" t="s">
        <v>32</v>
      </c>
      <c r="C4" s="24" t="s">
        <v>33</v>
      </c>
      <c r="D4" s="24" t="s">
        <v>34</v>
      </c>
      <c r="E4" s="24" t="s">
        <v>35</v>
      </c>
      <c r="F4" s="24" t="s">
        <v>36</v>
      </c>
      <c r="G4" s="24" t="s">
        <v>37</v>
      </c>
    </row>
    <row r="5" customFormat="false" ht="21.75" hidden="false" customHeight="true" outlineLevel="0" collapsed="false">
      <c r="A5" s="25" t="n">
        <v>2023</v>
      </c>
      <c r="B5" s="26" t="n">
        <v>21456</v>
      </c>
      <c r="C5" s="26" t="n">
        <v>7746</v>
      </c>
      <c r="D5" s="27" t="n">
        <v>36.11</v>
      </c>
      <c r="E5" s="27"/>
      <c r="F5" s="26" t="n">
        <v>549</v>
      </c>
      <c r="G5" s="28" t="s">
        <v>38</v>
      </c>
    </row>
    <row r="6" customFormat="false" ht="21.75" hidden="false" customHeight="true" outlineLevel="0" collapsed="false">
      <c r="A6" s="29" t="n">
        <v>2024</v>
      </c>
      <c r="B6" s="30" t="n">
        <v>20843</v>
      </c>
      <c r="C6" s="30" t="n">
        <v>5781</v>
      </c>
      <c r="D6" s="31" t="n">
        <v>27.74</v>
      </c>
      <c r="E6" s="31" t="n">
        <v>-8.37</v>
      </c>
      <c r="F6" s="30" t="n">
        <v>549</v>
      </c>
      <c r="G6" s="32" t="s">
        <v>39</v>
      </c>
    </row>
    <row r="7" customFormat="false" ht="21.75" hidden="false" customHeight="true" outlineLevel="0" collapsed="false">
      <c r="A7" s="25" t="n">
        <v>2025</v>
      </c>
      <c r="B7" s="26" t="n">
        <v>18258</v>
      </c>
      <c r="C7" s="26" t="n">
        <v>3839</v>
      </c>
      <c r="D7" s="27" t="n">
        <v>19.56</v>
      </c>
      <c r="E7" s="27" t="n">
        <v>-8.18</v>
      </c>
      <c r="F7" s="26" t="n">
        <v>549</v>
      </c>
      <c r="G7" s="28" t="s">
        <v>40</v>
      </c>
    </row>
    <row r="8" customFormat="false" ht="7.5" hidden="false" customHeight="true" outlineLevel="0" collapsed="false"/>
    <row r="9" customFormat="false" ht="25.5" hidden="false" customHeight="true" outlineLevel="0" collapsed="false">
      <c r="A9" s="33" t="s">
        <v>41</v>
      </c>
      <c r="B9" s="34" t="n">
        <f aca="false">SUM(B5:B7)</f>
        <v>60557</v>
      </c>
      <c r="C9" s="34" t="n">
        <f aca="false">SUM(C5:C7)</f>
        <v>17366</v>
      </c>
      <c r="D9" s="35" t="n">
        <f aca="false">AVERAGE(D5:D7)</f>
        <v>27.8033333333333</v>
      </c>
      <c r="E9" s="35" t="n">
        <f aca="false">SUM(E6:E7)</f>
        <v>-16.55</v>
      </c>
      <c r="F9" s="34" t="n">
        <f aca="false">SUM(F5:F7)</f>
        <v>1647</v>
      </c>
      <c r="G9" s="33" t="s">
        <v>42</v>
      </c>
    </row>
    <row r="11" customFormat="false" ht="21.75" hidden="false" customHeight="true" outlineLevel="0" collapsed="false">
      <c r="A11" s="36" t="s">
        <v>43</v>
      </c>
      <c r="B11" s="36"/>
      <c r="C11" s="37" t="n">
        <f aca="false">B9</f>
        <v>60557</v>
      </c>
      <c r="D11" s="38" t="str">
        <f aca="false">IF(B9=60557,"✓ Coincide con KPI global","✗ Revisar")</f>
        <v>✓ Coincide con KPI global</v>
      </c>
      <c r="E11" s="38"/>
    </row>
  </sheetData>
  <mergeCells count="4">
    <mergeCell ref="A1:G1"/>
    <mergeCell ref="A2:G2"/>
    <mergeCell ref="A11:B11"/>
    <mergeCell ref="D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8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22" t="s">
        <v>44</v>
      </c>
      <c r="B1" s="22"/>
      <c r="C1" s="22"/>
      <c r="D1" s="22"/>
      <c r="E1" s="22"/>
      <c r="F1" s="22"/>
    </row>
    <row r="2" customFormat="false" ht="19.5" hidden="false" customHeight="true" outlineLevel="0" collapsed="false">
      <c r="A2" s="23" t="s">
        <v>45</v>
      </c>
      <c r="B2" s="23"/>
      <c r="C2" s="23"/>
      <c r="D2" s="23"/>
      <c r="E2" s="23"/>
      <c r="F2" s="23"/>
    </row>
    <row r="3" customFormat="false" ht="7.5" hidden="false" customHeight="true" outlineLevel="0" collapsed="false"/>
    <row r="4" customFormat="false" ht="25.5" hidden="false" customHeight="true" outlineLevel="0" collapsed="false">
      <c r="A4" s="24" t="s">
        <v>46</v>
      </c>
      <c r="B4" s="24" t="s">
        <v>47</v>
      </c>
      <c r="C4" s="24" t="s">
        <v>48</v>
      </c>
      <c r="D4" s="24" t="s">
        <v>49</v>
      </c>
      <c r="E4" s="24" t="s">
        <v>33</v>
      </c>
      <c r="F4" s="24" t="s">
        <v>34</v>
      </c>
    </row>
    <row r="5" customFormat="false" ht="21.75" hidden="false" customHeight="true" outlineLevel="0" collapsed="false">
      <c r="A5" s="32" t="n">
        <v>1</v>
      </c>
      <c r="B5" s="32" t="s">
        <v>50</v>
      </c>
      <c r="C5" s="13" t="s">
        <v>51</v>
      </c>
      <c r="D5" s="39" t="n">
        <v>499</v>
      </c>
      <c r="E5" s="39" t="n">
        <v>290</v>
      </c>
      <c r="F5" s="40" t="n">
        <v>58.12</v>
      </c>
    </row>
    <row r="6" customFormat="false" ht="21.75" hidden="false" customHeight="true" outlineLevel="0" collapsed="false">
      <c r="A6" s="28" t="n">
        <v>2</v>
      </c>
      <c r="B6" s="28" t="s">
        <v>52</v>
      </c>
      <c r="C6" s="9" t="s">
        <v>53</v>
      </c>
      <c r="D6" s="41" t="n">
        <v>747</v>
      </c>
      <c r="E6" s="41" t="n">
        <v>434</v>
      </c>
      <c r="F6" s="40" t="n">
        <v>58.1</v>
      </c>
    </row>
    <row r="7" customFormat="false" ht="21.75" hidden="false" customHeight="true" outlineLevel="0" collapsed="false">
      <c r="A7" s="32" t="n">
        <v>3</v>
      </c>
      <c r="B7" s="32" t="s">
        <v>54</v>
      </c>
      <c r="C7" s="13" t="s">
        <v>55</v>
      </c>
      <c r="D7" s="39" t="n">
        <v>211</v>
      </c>
      <c r="E7" s="39" t="n">
        <v>107</v>
      </c>
      <c r="F7" s="40" t="n">
        <v>50.71</v>
      </c>
    </row>
    <row r="8" customFormat="false" ht="21.75" hidden="false" customHeight="true" outlineLevel="0" collapsed="false">
      <c r="A8" s="28" t="n">
        <v>4</v>
      </c>
      <c r="B8" s="28" t="s">
        <v>52</v>
      </c>
      <c r="C8" s="9" t="s">
        <v>56</v>
      </c>
      <c r="D8" s="41" t="n">
        <v>1086</v>
      </c>
      <c r="E8" s="41" t="n">
        <v>550</v>
      </c>
      <c r="F8" s="40" t="n">
        <v>50.64</v>
      </c>
    </row>
    <row r="9" customFormat="false" ht="21.75" hidden="false" customHeight="true" outlineLevel="0" collapsed="false">
      <c r="A9" s="32" t="n">
        <v>5</v>
      </c>
      <c r="B9" s="32" t="s">
        <v>54</v>
      </c>
      <c r="C9" s="13" t="s">
        <v>57</v>
      </c>
      <c r="D9" s="39" t="n">
        <v>92</v>
      </c>
      <c r="E9" s="39" t="n">
        <v>44</v>
      </c>
      <c r="F9" s="42" t="n">
        <v>47.83</v>
      </c>
    </row>
    <row r="10" customFormat="false" ht="21.75" hidden="false" customHeight="true" outlineLevel="0" collapsed="false">
      <c r="A10" s="28" t="n">
        <v>6</v>
      </c>
      <c r="B10" s="28" t="s">
        <v>54</v>
      </c>
      <c r="C10" s="9" t="s">
        <v>58</v>
      </c>
      <c r="D10" s="41" t="n">
        <v>156</v>
      </c>
      <c r="E10" s="41" t="n">
        <v>71</v>
      </c>
      <c r="F10" s="42" t="n">
        <v>45.51</v>
      </c>
    </row>
    <row r="11" customFormat="false" ht="21.75" hidden="false" customHeight="true" outlineLevel="0" collapsed="false">
      <c r="A11" s="32" t="n">
        <v>7</v>
      </c>
      <c r="B11" s="32" t="s">
        <v>50</v>
      </c>
      <c r="C11" s="13" t="s">
        <v>59</v>
      </c>
      <c r="D11" s="39" t="n">
        <v>442</v>
      </c>
      <c r="E11" s="39" t="n">
        <v>201</v>
      </c>
      <c r="F11" s="42" t="n">
        <v>45.48</v>
      </c>
    </row>
    <row r="12" customFormat="false" ht="21.75" hidden="false" customHeight="true" outlineLevel="0" collapsed="false">
      <c r="A12" s="28" t="n">
        <v>8</v>
      </c>
      <c r="B12" s="28" t="s">
        <v>52</v>
      </c>
      <c r="C12" s="9" t="s">
        <v>60</v>
      </c>
      <c r="D12" s="41" t="n">
        <v>2620</v>
      </c>
      <c r="E12" s="41" t="n">
        <v>1185</v>
      </c>
      <c r="F12" s="42" t="n">
        <v>45.23</v>
      </c>
    </row>
    <row r="13" customFormat="false" ht="21.75" hidden="false" customHeight="true" outlineLevel="0" collapsed="false">
      <c r="A13" s="32" t="n">
        <v>9</v>
      </c>
      <c r="B13" s="32" t="s">
        <v>50</v>
      </c>
      <c r="C13" s="13" t="s">
        <v>61</v>
      </c>
      <c r="D13" s="39" t="n">
        <v>370</v>
      </c>
      <c r="E13" s="39" t="n">
        <v>163</v>
      </c>
      <c r="F13" s="42" t="n">
        <v>44.05</v>
      </c>
    </row>
    <row r="14" customFormat="false" ht="21.75" hidden="false" customHeight="true" outlineLevel="0" collapsed="false">
      <c r="A14" s="28" t="n">
        <v>10</v>
      </c>
      <c r="B14" s="28" t="s">
        <v>52</v>
      </c>
      <c r="C14" s="9" t="s">
        <v>62</v>
      </c>
      <c r="D14" s="41" t="n">
        <v>513</v>
      </c>
      <c r="E14" s="41" t="n">
        <v>213</v>
      </c>
      <c r="F14" s="42" t="n">
        <v>41.52</v>
      </c>
    </row>
    <row r="15" customFormat="false" ht="21.75" hidden="false" customHeight="true" outlineLevel="0" collapsed="false">
      <c r="A15" s="32" t="n">
        <v>11</v>
      </c>
      <c r="B15" s="32" t="s">
        <v>54</v>
      </c>
      <c r="C15" s="13" t="s">
        <v>63</v>
      </c>
      <c r="D15" s="39" t="n">
        <v>157</v>
      </c>
      <c r="E15" s="39" t="n">
        <v>63</v>
      </c>
      <c r="F15" s="42" t="n">
        <v>40.13</v>
      </c>
    </row>
    <row r="16" customFormat="false" ht="21.75" hidden="false" customHeight="true" outlineLevel="0" collapsed="false">
      <c r="A16" s="28" t="n">
        <v>12</v>
      </c>
      <c r="B16" s="28" t="s">
        <v>52</v>
      </c>
      <c r="C16" s="9" t="s">
        <v>64</v>
      </c>
      <c r="D16" s="41" t="n">
        <v>5666</v>
      </c>
      <c r="E16" s="41" t="n">
        <v>2200</v>
      </c>
      <c r="F16" s="43" t="n">
        <v>38.83</v>
      </c>
    </row>
    <row r="17" customFormat="false" ht="21.75" hidden="false" customHeight="true" outlineLevel="0" collapsed="false">
      <c r="A17" s="32" t="n">
        <v>13</v>
      </c>
      <c r="B17" s="32" t="s">
        <v>52</v>
      </c>
      <c r="C17" s="13" t="s">
        <v>65</v>
      </c>
      <c r="D17" s="39" t="n">
        <v>677</v>
      </c>
      <c r="E17" s="39" t="n">
        <v>262</v>
      </c>
      <c r="F17" s="43" t="n">
        <v>38.7</v>
      </c>
    </row>
    <row r="18" customFormat="false" ht="21.75" hidden="false" customHeight="true" outlineLevel="0" collapsed="false">
      <c r="A18" s="28" t="n">
        <v>14</v>
      </c>
      <c r="B18" s="28" t="s">
        <v>52</v>
      </c>
      <c r="C18" s="9" t="s">
        <v>66</v>
      </c>
      <c r="D18" s="41" t="n">
        <v>1284</v>
      </c>
      <c r="E18" s="41" t="n">
        <v>494</v>
      </c>
      <c r="F18" s="43" t="n">
        <v>38.47</v>
      </c>
    </row>
    <row r="19" customFormat="false" ht="21.75" hidden="false" customHeight="true" outlineLevel="0" collapsed="false">
      <c r="A19" s="32" t="n">
        <v>15</v>
      </c>
      <c r="B19" s="32" t="s">
        <v>67</v>
      </c>
      <c r="C19" s="13" t="s">
        <v>68</v>
      </c>
      <c r="D19" s="39" t="n">
        <v>1205</v>
      </c>
      <c r="E19" s="39" t="n">
        <v>462</v>
      </c>
      <c r="F19" s="43" t="n">
        <v>38.34</v>
      </c>
    </row>
    <row r="21" customFormat="false" ht="7.5" hidden="false" customHeight="true" outlineLevel="0" collapsed="false"/>
    <row r="22" customFormat="false" ht="19.5" hidden="false" customHeight="true" outlineLevel="0" collapsed="false">
      <c r="A22" s="44" t="s">
        <v>69</v>
      </c>
      <c r="B22" s="44"/>
      <c r="C22" s="44"/>
      <c r="D22" s="44"/>
      <c r="E22" s="44"/>
      <c r="F22" s="44"/>
    </row>
    <row r="23" customFormat="false" ht="19.5" hidden="false" customHeight="true" outlineLevel="0" collapsed="false">
      <c r="A23" s="45" t="s">
        <v>70</v>
      </c>
      <c r="B23" s="45"/>
      <c r="C23" s="45"/>
      <c r="D23" s="45"/>
      <c r="E23" s="45"/>
      <c r="F23" s="45"/>
    </row>
    <row r="24" customFormat="false" ht="19.5" hidden="false" customHeight="true" outlineLevel="0" collapsed="false">
      <c r="A24" s="46" t="s">
        <v>71</v>
      </c>
      <c r="B24" s="46"/>
      <c r="C24" s="46"/>
      <c r="D24" s="46"/>
      <c r="E24" s="46"/>
      <c r="F24" s="46"/>
    </row>
  </sheetData>
  <mergeCells count="5">
    <mergeCell ref="A1:F1"/>
    <mergeCell ref="A2:F2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2026-06-26T17:01:47Z</dcterms:created>
  <dc:creator>openpyxl</dc:creator>
  <dc:description/>
  <dc:language>en-US</dc:language>
  <cp:lastModifiedBy/>
  <dcterms:modified xsi:type="dcterms:W3CDTF">2026-06-26T17:01:47Z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